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bo\uah-fee-calc\api\"/>
    </mc:Choice>
  </mc:AlternateContent>
  <xr:revisionPtr revIDLastSave="0" documentId="13_ncr:1_{E759711D-7188-44C8-A77E-DEB129FE31D6}" xr6:coauthVersionLast="47" xr6:coauthVersionMax="47" xr10:uidLastSave="{00000000-0000-0000-0000-000000000000}"/>
  <bookViews>
    <workbookView xWindow="-90" yWindow="-90" windowWidth="19380" windowHeight="10380" firstSheet="1" activeTab="4" xr2:uid="{5890CCC7-062B-44D9-8B81-92643DF6CCEC}"/>
  </bookViews>
  <sheets>
    <sheet name="Departments" sheetId="1" r:id="rId1"/>
    <sheet name="Colleges" sheetId="6" r:id="rId2"/>
    <sheet name="Individual Course Fees" sheetId="2" r:id="rId3"/>
    <sheet name="Group Course Fees" sheetId="3" r:id="rId4"/>
    <sheet name="Semester Fees" sheetId="4" r:id="rId5"/>
    <sheet name="One-time Fe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B55" i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C54" i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B54" i="1"/>
  <c r="C53" i="1"/>
  <c r="B52" i="1"/>
  <c r="C13" i="2"/>
  <c r="C12" i="2"/>
  <c r="C11" i="2"/>
  <c r="C10" i="2"/>
</calcChain>
</file>

<file path=xl/sharedStrings.xml><?xml version="1.0" encoding="utf-8"?>
<sst xmlns="http://schemas.openxmlformats.org/spreadsheetml/2006/main" count="181" uniqueCount="104">
  <si>
    <t>Department</t>
  </si>
  <si>
    <t>College</t>
  </si>
  <si>
    <t>AMS</t>
  </si>
  <si>
    <t>ARH</t>
  </si>
  <si>
    <t>FMA</t>
  </si>
  <si>
    <t>Fee</t>
  </si>
  <si>
    <t>MU</t>
  </si>
  <si>
    <t>TH</t>
  </si>
  <si>
    <t>ARS</t>
  </si>
  <si>
    <t>CM</t>
  </si>
  <si>
    <t>EH</t>
  </si>
  <si>
    <t>EHL</t>
  </si>
  <si>
    <t>GS</t>
  </si>
  <si>
    <t>GY</t>
  </si>
  <si>
    <t>HY</t>
  </si>
  <si>
    <t>MUA</t>
  </si>
  <si>
    <t>MUE</t>
  </si>
  <si>
    <t>MUJ</t>
  </si>
  <si>
    <t>MUX</t>
  </si>
  <si>
    <t>PHL</t>
  </si>
  <si>
    <t>PY</t>
  </si>
  <si>
    <t>SOC</t>
  </si>
  <si>
    <t>WGS</t>
  </si>
  <si>
    <t>WLC</t>
  </si>
  <si>
    <t>Number</t>
  </si>
  <si>
    <t>Start Course Number</t>
  </si>
  <si>
    <t>End Course Number</t>
  </si>
  <si>
    <t>Fee per Credit Hour</t>
  </si>
  <si>
    <t>Fee Name</t>
  </si>
  <si>
    <t>Cost</t>
  </si>
  <si>
    <t>Department Fee(per hour)</t>
  </si>
  <si>
    <t>College Fee (per hour)</t>
  </si>
  <si>
    <t>Semester Applied</t>
  </si>
  <si>
    <t>ACC</t>
  </si>
  <si>
    <t>Business</t>
  </si>
  <si>
    <t>BLS</t>
  </si>
  <si>
    <t>BUS</t>
  </si>
  <si>
    <t>ECN</t>
  </si>
  <si>
    <t>FIN</t>
  </si>
  <si>
    <t>IS</t>
  </si>
  <si>
    <t>MGT</t>
  </si>
  <si>
    <t>MKT</t>
  </si>
  <si>
    <t>MSC</t>
  </si>
  <si>
    <t>ECH</t>
  </si>
  <si>
    <t>ED</t>
  </si>
  <si>
    <t>HPE</t>
  </si>
  <si>
    <t>Education</t>
  </si>
  <si>
    <t>KIN</t>
  </si>
  <si>
    <t>SFM</t>
  </si>
  <si>
    <t>EDC</t>
  </si>
  <si>
    <t>Engineering</t>
  </si>
  <si>
    <t>CE</t>
  </si>
  <si>
    <t>CHE</t>
  </si>
  <si>
    <t>CPE</t>
  </si>
  <si>
    <t>EE</t>
  </si>
  <si>
    <t>EGR</t>
  </si>
  <si>
    <t>EM</t>
  </si>
  <si>
    <t>ENG</t>
  </si>
  <si>
    <t>ISE</t>
  </si>
  <si>
    <t>MAE</t>
  </si>
  <si>
    <t>OPE</t>
  </si>
  <si>
    <t>OSE</t>
  </si>
  <si>
    <t>Honors College</t>
  </si>
  <si>
    <t>Fall &amp; Spring</t>
  </si>
  <si>
    <t>International (Academic Year)</t>
  </si>
  <si>
    <t>International Fee(5 week term)</t>
  </si>
  <si>
    <t>Summer</t>
  </si>
  <si>
    <t>International Fee(10 week term)</t>
  </si>
  <si>
    <t>J Visa</t>
  </si>
  <si>
    <t>Arts, Humanities, Social Sciences</t>
  </si>
  <si>
    <t>NUR</t>
  </si>
  <si>
    <t>Nursing</t>
  </si>
  <si>
    <t>NUA</t>
  </si>
  <si>
    <t>???</t>
  </si>
  <si>
    <t>ET</t>
  </si>
  <si>
    <t>Professional Studies</t>
  </si>
  <si>
    <t>PRO</t>
  </si>
  <si>
    <t>AES</t>
  </si>
  <si>
    <t>Science</t>
  </si>
  <si>
    <t>AST</t>
  </si>
  <si>
    <t>BSE</t>
  </si>
  <si>
    <t>BYS</t>
  </si>
  <si>
    <t>CH</t>
  </si>
  <si>
    <t>CS</t>
  </si>
  <si>
    <t>MA</t>
  </si>
  <si>
    <t>MS</t>
  </si>
  <si>
    <t>MOD</t>
  </si>
  <si>
    <t>MTS</t>
  </si>
  <si>
    <t>OPT</t>
  </si>
  <si>
    <t>PH</t>
  </si>
  <si>
    <t>SPA</t>
  </si>
  <si>
    <t>ST</t>
  </si>
  <si>
    <t>Parking Permit (Full Year)</t>
  </si>
  <si>
    <t>Parking Permit (Spring &amp; Summer)</t>
  </si>
  <si>
    <t>Spring &amp; Summer</t>
  </si>
  <si>
    <t>Parking Permit (Summer Only)</t>
  </si>
  <si>
    <t>Meal Plan Options 1-4</t>
  </si>
  <si>
    <t>Meal Plan Option 5</t>
  </si>
  <si>
    <t>Meal Plan Option 6</t>
  </si>
  <si>
    <t>Meal Plan Options 7-8</t>
  </si>
  <si>
    <t>Academic Transcript</t>
  </si>
  <si>
    <t>Credit by Departmental Exam</t>
  </si>
  <si>
    <t>Charger ID (New Students)</t>
  </si>
  <si>
    <t>Charger ID (Replacement)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</si>
</sst>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6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03A18-8920-4F8F-8304-50BC1D86F488}" name="Table1" displayName="Table1" ref="A1:C66" totalsRowShown="0">
  <autoFilter ref="A1:C66" xr:uid="{46F03A18-8920-4F8F-8304-50BC1D86F488}"/>
  <tableColumns count="3">
    <tableColumn id="1" xr3:uid="{E3F1080B-4530-4B83-90FF-A19C2C3C2D66}" name="Department"/>
    <tableColumn id="2" xr3:uid="{AA8AF3FE-3BEA-41B7-8E12-9146FBA3350C}" name="College"/>
    <tableColumn id="3" xr3:uid="{5F43A632-EC2F-4EAF-946E-D4543E86714B}" name="Department Fee(per hour)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514E19-E69A-465D-A4BD-390EA5002227}" name="Table17" displayName="Table17" ref="A1:B8" totalsRowShown="0">
  <autoFilter ref="A1:B8" xr:uid="{2B514E19-E69A-465D-A4BD-390EA5002227}"/>
  <tableColumns count="2">
    <tableColumn id="2" xr3:uid="{32E7CDFB-6E7D-4A61-B133-B84DD1FF7ACE}" name="College"/>
    <tableColumn id="3" xr3:uid="{008EA26D-7634-4605-AC5E-160ACEC82584}" name="College Fee (per hour)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A34E4-756C-481F-AE0D-388C8E6B14D9}" name="Table2" displayName="Table2" ref="A1:C18" totalsRowShown="0">
  <autoFilter ref="A1:C18" xr:uid="{190A34E4-756C-481F-AE0D-388C8E6B14D9}"/>
  <tableColumns count="3">
    <tableColumn id="1" xr3:uid="{D5542514-AE14-46BE-BF16-624701F10CC0}" name="Department"/>
    <tableColumn id="2" xr3:uid="{F31DB030-3081-46B8-9A34-87C0AED4153E}" name="Number"/>
    <tableColumn id="3" xr3:uid="{0C8859D2-8D48-4592-AEC3-942FB3BA1798}" name="Fee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294DF0-65B5-4F70-9659-208454C5D99A}" name="Table3" displayName="Table3" ref="A1:D2" totalsRowShown="0">
  <autoFilter ref="A1:D2" xr:uid="{0E294DF0-65B5-4F70-9659-208454C5D99A}"/>
  <tableColumns count="4">
    <tableColumn id="1" xr3:uid="{46AD1A5E-5FA7-497C-B88F-0E9716DA4A79}" name="Department"/>
    <tableColumn id="2" xr3:uid="{DE0BEBA7-8F1F-44D8-8B41-9E4CAB3DAA5B}" name="Start Course Number"/>
    <tableColumn id="3" xr3:uid="{817DB49B-ED65-491E-BBCE-2F261321EE13}" name="End Course Number"/>
    <tableColumn id="4" xr3:uid="{F6CC69D1-C93B-4928-B47A-19226529B685}" name="Fee per Credit Hour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52315C-E6AC-46CA-B8C3-AF1735E27570}" name="Table4" displayName="Table4" ref="A1:C12" totalsRowShown="0">
  <autoFilter ref="A1:C12" xr:uid="{D452315C-E6AC-46CA-B8C3-AF1735E27570}"/>
  <tableColumns count="3">
    <tableColumn id="1" xr3:uid="{1EB699F0-CB8A-4699-912F-9C44730CBD98}" name="Fee Name"/>
    <tableColumn id="2" xr3:uid="{41F3EEAA-417E-4E2F-A661-A03639A72A25}" name="Cost" dataDxfId="1"/>
    <tableColumn id="3" xr3:uid="{7C86D935-C775-4763-9EE4-67670DB00D63}" name="Semester Appli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71CCF6-558C-45BF-9BB6-3211F9727D23}" name="Table5" displayName="Table5" ref="A1:B6" totalsRowShown="0">
  <autoFilter ref="A1:B6" xr:uid="{5171CCF6-558C-45BF-9BB6-3211F9727D23}"/>
  <tableColumns count="2">
    <tableColumn id="1" xr3:uid="{6848150C-87BA-4CB0-BAC3-45A225CEFB63}" name="Fee Name"/>
    <tableColumn id="2" xr3:uid="{C7B11410-6633-4508-A63B-3D774153F0D8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8632-4528-4B81-AC0F-B11199BA3EF4}">
  <dimension ref="A1:E66"/>
  <sheetViews>
    <sheetView topLeftCell="A55" workbookViewId="0">
      <selection activeCell="B50" sqref="B50"/>
    </sheetView>
  </sheetViews>
  <sheetFormatPr defaultRowHeight="14.75" x14ac:dyDescent="0.75"/>
  <cols>
    <col min="1" max="1" width="20.54296875" customWidth="1"/>
    <col min="2" max="2" width="29.58984375" customWidth="1"/>
    <col min="3" max="3" width="32.26953125" customWidth="1"/>
    <col min="4" max="4" width="22.26953125" customWidth="1"/>
  </cols>
  <sheetData>
    <row r="1" spans="1:3" x14ac:dyDescent="0.75">
      <c r="A1" t="s">
        <v>0</v>
      </c>
      <c r="B1" t="s">
        <v>1</v>
      </c>
      <c r="C1" t="s">
        <v>30</v>
      </c>
    </row>
    <row r="2" spans="1:3" x14ac:dyDescent="0.75">
      <c r="A2" t="s">
        <v>2</v>
      </c>
      <c r="B2" t="s">
        <v>69</v>
      </c>
      <c r="C2" s="1">
        <v>0</v>
      </c>
    </row>
    <row r="3" spans="1:3" x14ac:dyDescent="0.75">
      <c r="A3" t="s">
        <v>3</v>
      </c>
      <c r="B3" t="s">
        <v>69</v>
      </c>
      <c r="C3" s="1">
        <v>0</v>
      </c>
    </row>
    <row r="4" spans="1:3" x14ac:dyDescent="0.75">
      <c r="A4" t="s">
        <v>8</v>
      </c>
      <c r="B4" t="s">
        <v>69</v>
      </c>
      <c r="C4" s="1">
        <v>25</v>
      </c>
    </row>
    <row r="5" spans="1:3" x14ac:dyDescent="0.75">
      <c r="A5" t="s">
        <v>9</v>
      </c>
      <c r="B5" t="s">
        <v>69</v>
      </c>
      <c r="C5" s="1">
        <v>0</v>
      </c>
    </row>
    <row r="6" spans="1:3" x14ac:dyDescent="0.75">
      <c r="A6" t="s">
        <v>10</v>
      </c>
      <c r="B6" t="s">
        <v>69</v>
      </c>
      <c r="C6" s="1">
        <v>0</v>
      </c>
    </row>
    <row r="7" spans="1:3" x14ac:dyDescent="0.75">
      <c r="A7" t="s">
        <v>11</v>
      </c>
      <c r="B7" t="s">
        <v>69</v>
      </c>
      <c r="C7" s="1">
        <v>0</v>
      </c>
    </row>
    <row r="8" spans="1:3" x14ac:dyDescent="0.75">
      <c r="A8" t="s">
        <v>4</v>
      </c>
      <c r="B8" t="s">
        <v>69</v>
      </c>
      <c r="C8" s="1">
        <v>15</v>
      </c>
    </row>
    <row r="9" spans="1:3" x14ac:dyDescent="0.75">
      <c r="A9" t="s">
        <v>12</v>
      </c>
      <c r="B9" t="s">
        <v>69</v>
      </c>
      <c r="C9" s="1">
        <v>0</v>
      </c>
    </row>
    <row r="10" spans="1:3" x14ac:dyDescent="0.75">
      <c r="A10" t="s">
        <v>13</v>
      </c>
      <c r="B10" t="s">
        <v>69</v>
      </c>
      <c r="C10" s="1">
        <v>0</v>
      </c>
    </row>
    <row r="11" spans="1:3" x14ac:dyDescent="0.75">
      <c r="A11" t="s">
        <v>14</v>
      </c>
      <c r="B11" t="s">
        <v>69</v>
      </c>
      <c r="C11" s="1">
        <v>0</v>
      </c>
    </row>
    <row r="12" spans="1:3" x14ac:dyDescent="0.75">
      <c r="A12" t="s">
        <v>6</v>
      </c>
      <c r="B12" t="s">
        <v>69</v>
      </c>
      <c r="C12" s="1">
        <v>125</v>
      </c>
    </row>
    <row r="13" spans="1:3" x14ac:dyDescent="0.75">
      <c r="A13" t="s">
        <v>15</v>
      </c>
      <c r="B13" t="s">
        <v>69</v>
      </c>
      <c r="C13" s="1">
        <v>0</v>
      </c>
    </row>
    <row r="14" spans="1:3" x14ac:dyDescent="0.75">
      <c r="A14" t="s">
        <v>16</v>
      </c>
      <c r="B14" t="s">
        <v>69</v>
      </c>
      <c r="C14" s="1">
        <v>0</v>
      </c>
    </row>
    <row r="15" spans="1:3" x14ac:dyDescent="0.75">
      <c r="A15" t="s">
        <v>17</v>
      </c>
      <c r="B15" t="s">
        <v>69</v>
      </c>
      <c r="C15" s="1">
        <v>0</v>
      </c>
    </row>
    <row r="16" spans="1:3" x14ac:dyDescent="0.75">
      <c r="A16" t="s">
        <v>18</v>
      </c>
      <c r="B16" t="s">
        <v>69</v>
      </c>
      <c r="C16" s="1">
        <v>0</v>
      </c>
    </row>
    <row r="17" spans="1:5" x14ac:dyDescent="0.75">
      <c r="A17" t="s">
        <v>19</v>
      </c>
      <c r="B17" t="s">
        <v>69</v>
      </c>
      <c r="C17" s="1">
        <v>0</v>
      </c>
    </row>
    <row r="18" spans="1:5" x14ac:dyDescent="0.75">
      <c r="A18" t="s">
        <v>20</v>
      </c>
      <c r="B18" t="s">
        <v>69</v>
      </c>
      <c r="C18" s="1">
        <v>0</v>
      </c>
    </row>
    <row r="19" spans="1:5" x14ac:dyDescent="0.75">
      <c r="A19" t="s">
        <v>21</v>
      </c>
      <c r="B19" t="s">
        <v>69</v>
      </c>
      <c r="C19" s="1">
        <v>0</v>
      </c>
    </row>
    <row r="20" spans="1:5" x14ac:dyDescent="0.75">
      <c r="A20" t="s">
        <v>7</v>
      </c>
      <c r="B20" t="s">
        <v>69</v>
      </c>
      <c r="C20" s="1">
        <v>15</v>
      </c>
    </row>
    <row r="21" spans="1:5" x14ac:dyDescent="0.75">
      <c r="A21" t="s">
        <v>22</v>
      </c>
      <c r="B21" t="s">
        <v>69</v>
      </c>
      <c r="C21" s="1">
        <v>0</v>
      </c>
    </row>
    <row r="22" spans="1:5" x14ac:dyDescent="0.75">
      <c r="A22" t="s">
        <v>23</v>
      </c>
      <c r="B22" t="s">
        <v>69</v>
      </c>
      <c r="C22" s="1">
        <v>0</v>
      </c>
    </row>
    <row r="23" spans="1:5" x14ac:dyDescent="0.75">
      <c r="A23" t="s">
        <v>33</v>
      </c>
      <c r="B23" t="s">
        <v>34</v>
      </c>
      <c r="C23" s="1">
        <v>0</v>
      </c>
    </row>
    <row r="24" spans="1:5" x14ac:dyDescent="0.75">
      <c r="A24" t="s">
        <v>35</v>
      </c>
      <c r="B24" t="s">
        <v>34</v>
      </c>
      <c r="C24" s="1">
        <v>0</v>
      </c>
      <c r="E24" s="2"/>
    </row>
    <row r="25" spans="1:5" x14ac:dyDescent="0.75">
      <c r="A25" t="s">
        <v>36</v>
      </c>
      <c r="B25" t="s">
        <v>34</v>
      </c>
      <c r="C25" s="1">
        <v>0</v>
      </c>
    </row>
    <row r="26" spans="1:5" x14ac:dyDescent="0.75">
      <c r="A26" t="s">
        <v>37</v>
      </c>
      <c r="B26" t="s">
        <v>34</v>
      </c>
      <c r="C26" s="1">
        <v>0</v>
      </c>
    </row>
    <row r="27" spans="1:5" x14ac:dyDescent="0.75">
      <c r="A27" t="s">
        <v>38</v>
      </c>
      <c r="B27" t="s">
        <v>34</v>
      </c>
      <c r="C27" s="1">
        <v>0</v>
      </c>
    </row>
    <row r="28" spans="1:5" x14ac:dyDescent="0.75">
      <c r="A28" t="s">
        <v>39</v>
      </c>
      <c r="B28" t="s">
        <v>34</v>
      </c>
      <c r="C28" s="1">
        <v>0</v>
      </c>
    </row>
    <row r="29" spans="1:5" x14ac:dyDescent="0.75">
      <c r="A29" t="s">
        <v>40</v>
      </c>
      <c r="B29" t="s">
        <v>34</v>
      </c>
      <c r="C29" s="1">
        <v>0</v>
      </c>
    </row>
    <row r="30" spans="1:5" x14ac:dyDescent="0.75">
      <c r="A30" t="s">
        <v>41</v>
      </c>
      <c r="B30" t="s">
        <v>34</v>
      </c>
      <c r="C30" s="1">
        <v>0</v>
      </c>
    </row>
    <row r="31" spans="1:5" x14ac:dyDescent="0.75">
      <c r="A31" t="s">
        <v>42</v>
      </c>
      <c r="B31" t="s">
        <v>34</v>
      </c>
      <c r="C31" s="1">
        <v>0</v>
      </c>
    </row>
    <row r="32" spans="1:5" x14ac:dyDescent="0.75">
      <c r="A32" t="s">
        <v>43</v>
      </c>
      <c r="B32" t="s">
        <v>46</v>
      </c>
      <c r="C32" s="1">
        <v>0</v>
      </c>
    </row>
    <row r="33" spans="1:3" x14ac:dyDescent="0.75">
      <c r="A33" t="s">
        <v>44</v>
      </c>
      <c r="B33" t="s">
        <v>46</v>
      </c>
      <c r="C33" s="1">
        <v>0</v>
      </c>
    </row>
    <row r="34" spans="1:3" x14ac:dyDescent="0.75">
      <c r="A34" t="s">
        <v>49</v>
      </c>
      <c r="B34" t="s">
        <v>46</v>
      </c>
      <c r="C34" s="1">
        <v>0</v>
      </c>
    </row>
    <row r="35" spans="1:3" x14ac:dyDescent="0.75">
      <c r="A35" t="s">
        <v>45</v>
      </c>
      <c r="B35" t="s">
        <v>46</v>
      </c>
      <c r="C35" s="1">
        <v>0</v>
      </c>
    </row>
    <row r="36" spans="1:3" x14ac:dyDescent="0.75">
      <c r="A36" t="s">
        <v>47</v>
      </c>
      <c r="B36" t="s">
        <v>46</v>
      </c>
      <c r="C36" s="1">
        <v>0</v>
      </c>
    </row>
    <row r="37" spans="1:3" x14ac:dyDescent="0.75">
      <c r="A37" t="s">
        <v>48</v>
      </c>
      <c r="B37" t="s">
        <v>46</v>
      </c>
      <c r="C37" s="1">
        <v>0</v>
      </c>
    </row>
    <row r="38" spans="1:3" x14ac:dyDescent="0.75">
      <c r="A38" t="s">
        <v>51</v>
      </c>
      <c r="B38" t="s">
        <v>50</v>
      </c>
      <c r="C38" s="1">
        <v>0</v>
      </c>
    </row>
    <row r="39" spans="1:3" x14ac:dyDescent="0.75">
      <c r="A39" t="s">
        <v>52</v>
      </c>
      <c r="B39" t="s">
        <v>50</v>
      </c>
      <c r="C39" s="1">
        <v>0</v>
      </c>
    </row>
    <row r="40" spans="1:3" x14ac:dyDescent="0.75">
      <c r="A40" t="s">
        <v>53</v>
      </c>
      <c r="B40" t="s">
        <v>50</v>
      </c>
      <c r="C40" s="1">
        <v>0</v>
      </c>
    </row>
    <row r="41" spans="1:3" x14ac:dyDescent="0.75">
      <c r="A41" t="s">
        <v>54</v>
      </c>
      <c r="B41" t="s">
        <v>50</v>
      </c>
      <c r="C41" s="1">
        <v>0</v>
      </c>
    </row>
    <row r="42" spans="1:3" x14ac:dyDescent="0.75">
      <c r="A42" t="s">
        <v>55</v>
      </c>
      <c r="B42" t="s">
        <v>50</v>
      </c>
      <c r="C42" s="1">
        <v>0</v>
      </c>
    </row>
    <row r="43" spans="1:3" x14ac:dyDescent="0.75">
      <c r="A43" t="s">
        <v>56</v>
      </c>
      <c r="B43" t="s">
        <v>50</v>
      </c>
      <c r="C43" s="1">
        <v>0</v>
      </c>
    </row>
    <row r="44" spans="1:3" x14ac:dyDescent="0.75">
      <c r="A44" t="s">
        <v>57</v>
      </c>
      <c r="B44" t="s">
        <v>50</v>
      </c>
      <c r="C44" s="1">
        <v>0</v>
      </c>
    </row>
    <row r="45" spans="1:3" x14ac:dyDescent="0.75">
      <c r="A45" t="s">
        <v>58</v>
      </c>
      <c r="B45" t="s">
        <v>50</v>
      </c>
      <c r="C45" s="1">
        <v>0</v>
      </c>
    </row>
    <row r="46" spans="1:3" x14ac:dyDescent="0.75">
      <c r="A46" t="s">
        <v>59</v>
      </c>
      <c r="B46" t="s">
        <v>50</v>
      </c>
      <c r="C46" s="1">
        <v>0</v>
      </c>
    </row>
    <row r="47" spans="1:3" x14ac:dyDescent="0.75">
      <c r="A47" t="s">
        <v>60</v>
      </c>
      <c r="B47" t="s">
        <v>50</v>
      </c>
      <c r="C47" s="1">
        <v>0</v>
      </c>
    </row>
    <row r="48" spans="1:3" x14ac:dyDescent="0.75">
      <c r="A48" t="s">
        <v>61</v>
      </c>
      <c r="B48" t="s">
        <v>50</v>
      </c>
      <c r="C48" s="1">
        <v>0</v>
      </c>
    </row>
    <row r="49" spans="1:3" x14ac:dyDescent="0.75">
      <c r="A49" t="s">
        <v>70</v>
      </c>
      <c r="B49" t="s">
        <v>71</v>
      </c>
      <c r="C49" s="1">
        <v>0</v>
      </c>
    </row>
    <row r="50" spans="1:3" x14ac:dyDescent="0.75">
      <c r="A50" t="s">
        <v>72</v>
      </c>
      <c r="B50" t="s">
        <v>73</v>
      </c>
      <c r="C50" s="1">
        <v>0</v>
      </c>
    </row>
    <row r="51" spans="1:3" x14ac:dyDescent="0.75">
      <c r="A51" t="s">
        <v>74</v>
      </c>
      <c r="B51" t="s">
        <v>75</v>
      </c>
      <c r="C51" s="1">
        <v>0</v>
      </c>
    </row>
    <row r="52" spans="1:3" x14ac:dyDescent="0.75">
      <c r="A52" t="s">
        <v>76</v>
      </c>
      <c r="B52" t="str">
        <f>B51</f>
        <v>Professional Studies</v>
      </c>
      <c r="C52" s="1">
        <v>0</v>
      </c>
    </row>
    <row r="53" spans="1:3" x14ac:dyDescent="0.75">
      <c r="A53" t="s">
        <v>77</v>
      </c>
      <c r="B53" t="s">
        <v>78</v>
      </c>
      <c r="C53" s="1">
        <f>0</f>
        <v>0</v>
      </c>
    </row>
    <row r="54" spans="1:3" x14ac:dyDescent="0.75">
      <c r="A54" t="s">
        <v>79</v>
      </c>
      <c r="B54" t="str">
        <f>B53</f>
        <v>Science</v>
      </c>
      <c r="C54" s="1">
        <f>C53</f>
        <v>0</v>
      </c>
    </row>
    <row r="55" spans="1:3" x14ac:dyDescent="0.75">
      <c r="A55" t="s">
        <v>80</v>
      </c>
      <c r="B55" t="str">
        <f t="shared" ref="B55:C66" si="0">B54</f>
        <v>Science</v>
      </c>
      <c r="C55" s="1">
        <f t="shared" si="0"/>
        <v>0</v>
      </c>
    </row>
    <row r="56" spans="1:3" x14ac:dyDescent="0.75">
      <c r="A56" t="s">
        <v>81</v>
      </c>
      <c r="B56" t="str">
        <f t="shared" si="0"/>
        <v>Science</v>
      </c>
      <c r="C56" s="1">
        <f t="shared" si="0"/>
        <v>0</v>
      </c>
    </row>
    <row r="57" spans="1:3" x14ac:dyDescent="0.75">
      <c r="A57" t="s">
        <v>82</v>
      </c>
      <c r="B57" t="str">
        <f t="shared" si="0"/>
        <v>Science</v>
      </c>
      <c r="C57" s="1">
        <f t="shared" si="0"/>
        <v>0</v>
      </c>
    </row>
    <row r="58" spans="1:3" x14ac:dyDescent="0.75">
      <c r="A58" t="s">
        <v>83</v>
      </c>
      <c r="B58" t="str">
        <f t="shared" si="0"/>
        <v>Science</v>
      </c>
      <c r="C58" s="1">
        <f t="shared" si="0"/>
        <v>0</v>
      </c>
    </row>
    <row r="59" spans="1:3" x14ac:dyDescent="0.75">
      <c r="A59" t="s">
        <v>84</v>
      </c>
      <c r="B59" t="str">
        <f t="shared" si="0"/>
        <v>Science</v>
      </c>
      <c r="C59" s="1">
        <f t="shared" si="0"/>
        <v>0</v>
      </c>
    </row>
    <row r="60" spans="1:3" x14ac:dyDescent="0.75">
      <c r="A60" t="s">
        <v>85</v>
      </c>
      <c r="B60" t="str">
        <f t="shared" si="0"/>
        <v>Science</v>
      </c>
      <c r="C60" s="1">
        <f t="shared" si="0"/>
        <v>0</v>
      </c>
    </row>
    <row r="61" spans="1:3" x14ac:dyDescent="0.75">
      <c r="A61" t="s">
        <v>86</v>
      </c>
      <c r="B61" t="str">
        <f t="shared" si="0"/>
        <v>Science</v>
      </c>
      <c r="C61" s="1">
        <f t="shared" si="0"/>
        <v>0</v>
      </c>
    </row>
    <row r="62" spans="1:3" x14ac:dyDescent="0.75">
      <c r="A62" t="s">
        <v>87</v>
      </c>
      <c r="B62" t="str">
        <f t="shared" si="0"/>
        <v>Science</v>
      </c>
      <c r="C62" s="1">
        <f t="shared" si="0"/>
        <v>0</v>
      </c>
    </row>
    <row r="63" spans="1:3" x14ac:dyDescent="0.75">
      <c r="A63" t="s">
        <v>88</v>
      </c>
      <c r="B63" t="str">
        <f t="shared" si="0"/>
        <v>Science</v>
      </c>
      <c r="C63" s="1">
        <f t="shared" si="0"/>
        <v>0</v>
      </c>
    </row>
    <row r="64" spans="1:3" x14ac:dyDescent="0.75">
      <c r="A64" t="s">
        <v>89</v>
      </c>
      <c r="B64" t="str">
        <f t="shared" si="0"/>
        <v>Science</v>
      </c>
      <c r="C64" s="1">
        <f t="shared" si="0"/>
        <v>0</v>
      </c>
    </row>
    <row r="65" spans="1:3" x14ac:dyDescent="0.75">
      <c r="A65" t="s">
        <v>90</v>
      </c>
      <c r="B65" t="str">
        <f t="shared" si="0"/>
        <v>Science</v>
      </c>
      <c r="C65" s="1">
        <f t="shared" si="0"/>
        <v>0</v>
      </c>
    </row>
    <row r="66" spans="1:3" x14ac:dyDescent="0.75">
      <c r="A66" t="s">
        <v>91</v>
      </c>
      <c r="B66" t="str">
        <f t="shared" si="0"/>
        <v>Science</v>
      </c>
      <c r="C66" s="1">
        <f t="shared" si="0"/>
        <v>0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03F1-13F1-48AD-B145-98D7DA272D15}">
  <dimension ref="A1:D48"/>
  <sheetViews>
    <sheetView workbookViewId="0">
      <selection activeCell="B13" sqref="B13"/>
    </sheetView>
  </sheetViews>
  <sheetFormatPr defaultRowHeight="14.75" x14ac:dyDescent="0.75"/>
  <cols>
    <col min="1" max="1" width="31.36328125" customWidth="1"/>
    <col min="2" max="2" width="43.2265625" customWidth="1"/>
    <col min="3" max="3" width="29.1796875" customWidth="1"/>
    <col min="4" max="4" width="42.81640625" customWidth="1"/>
  </cols>
  <sheetData>
    <row r="1" spans="1:4" x14ac:dyDescent="0.75">
      <c r="A1" t="s">
        <v>1</v>
      </c>
      <c r="B1" t="s">
        <v>31</v>
      </c>
    </row>
    <row r="2" spans="1:4" x14ac:dyDescent="0.75">
      <c r="A2" t="s">
        <v>69</v>
      </c>
      <c r="B2" s="1">
        <v>24</v>
      </c>
      <c r="C2" s="1"/>
    </row>
    <row r="3" spans="1:4" x14ac:dyDescent="0.75">
      <c r="A3" t="s">
        <v>34</v>
      </c>
      <c r="B3" s="1">
        <v>27</v>
      </c>
      <c r="C3" s="1"/>
    </row>
    <row r="4" spans="1:4" x14ac:dyDescent="0.75">
      <c r="A4" t="s">
        <v>46</v>
      </c>
      <c r="B4" s="1">
        <v>24</v>
      </c>
      <c r="C4" s="1"/>
    </row>
    <row r="5" spans="1:4" x14ac:dyDescent="0.75">
      <c r="A5" t="s">
        <v>50</v>
      </c>
      <c r="B5" s="1">
        <v>46</v>
      </c>
      <c r="C5" s="1"/>
    </row>
    <row r="6" spans="1:4" x14ac:dyDescent="0.75">
      <c r="A6" t="s">
        <v>71</v>
      </c>
      <c r="B6" s="1">
        <v>46</v>
      </c>
      <c r="C6" s="1"/>
      <c r="D6" s="1"/>
    </row>
    <row r="7" spans="1:4" x14ac:dyDescent="0.75">
      <c r="A7" t="s">
        <v>75</v>
      </c>
      <c r="B7" s="1">
        <v>24</v>
      </c>
      <c r="C7" s="1"/>
      <c r="D7" s="1"/>
    </row>
    <row r="8" spans="1:4" x14ac:dyDescent="0.75">
      <c r="A8" t="s">
        <v>78</v>
      </c>
      <c r="B8" s="1">
        <v>40</v>
      </c>
      <c r="C8" s="1"/>
      <c r="D8" s="1"/>
    </row>
    <row r="9" spans="1:4" x14ac:dyDescent="0.75">
      <c r="C9" s="1"/>
      <c r="D9" s="1"/>
    </row>
    <row r="10" spans="1:4" x14ac:dyDescent="0.75">
      <c r="C10" s="1"/>
      <c r="D10" s="1"/>
    </row>
    <row r="11" spans="1:4" x14ac:dyDescent="0.75">
      <c r="C11" s="1"/>
      <c r="D11" s="1"/>
    </row>
    <row r="12" spans="1:4" x14ac:dyDescent="0.75">
      <c r="C12" s="1"/>
      <c r="D12" s="1"/>
    </row>
    <row r="13" spans="1:4" x14ac:dyDescent="0.75">
      <c r="C13" s="1"/>
      <c r="D13" s="1"/>
    </row>
    <row r="14" spans="1:4" x14ac:dyDescent="0.75">
      <c r="C14" s="1"/>
      <c r="D14" s="1"/>
    </row>
    <row r="15" spans="1:4" x14ac:dyDescent="0.75">
      <c r="C15" s="1"/>
      <c r="D15" s="1"/>
    </row>
    <row r="16" spans="1:4" x14ac:dyDescent="0.75">
      <c r="C16" s="1"/>
      <c r="D16" s="1"/>
    </row>
    <row r="17" spans="3:4" x14ac:dyDescent="0.75">
      <c r="C17" s="1"/>
      <c r="D17" s="1"/>
    </row>
    <row r="18" spans="3:4" x14ac:dyDescent="0.75">
      <c r="C18" s="1"/>
      <c r="D18" s="1"/>
    </row>
    <row r="19" spans="3:4" x14ac:dyDescent="0.75">
      <c r="C19" s="1"/>
      <c r="D19" s="1"/>
    </row>
    <row r="20" spans="3:4" x14ac:dyDescent="0.75">
      <c r="C20" s="1"/>
      <c r="D20" s="1"/>
    </row>
    <row r="21" spans="3:4" x14ac:dyDescent="0.75">
      <c r="C21" s="1"/>
      <c r="D21" s="1"/>
    </row>
    <row r="22" spans="3:4" x14ac:dyDescent="0.75">
      <c r="C22" s="1"/>
      <c r="D22" s="1"/>
    </row>
    <row r="23" spans="3:4" x14ac:dyDescent="0.75">
      <c r="C23" s="1"/>
      <c r="D23" s="1"/>
    </row>
    <row r="24" spans="3:4" x14ac:dyDescent="0.75">
      <c r="C24" s="1"/>
      <c r="D24" s="1"/>
    </row>
    <row r="25" spans="3:4" x14ac:dyDescent="0.75">
      <c r="C25" s="1"/>
      <c r="D25" s="1"/>
    </row>
    <row r="26" spans="3:4" x14ac:dyDescent="0.75">
      <c r="C26" s="1"/>
      <c r="D26" s="1"/>
    </row>
    <row r="27" spans="3:4" x14ac:dyDescent="0.75">
      <c r="C27" s="1"/>
      <c r="D27" s="1"/>
    </row>
    <row r="28" spans="3:4" x14ac:dyDescent="0.75">
      <c r="C28" s="1"/>
      <c r="D28" s="1"/>
    </row>
    <row r="29" spans="3:4" x14ac:dyDescent="0.75">
      <c r="C29" s="1"/>
      <c r="D29" s="1"/>
    </row>
    <row r="30" spans="3:4" x14ac:dyDescent="0.75">
      <c r="C30" s="1"/>
      <c r="D30" s="1"/>
    </row>
    <row r="31" spans="3:4" x14ac:dyDescent="0.75">
      <c r="C31" s="1"/>
      <c r="D31" s="1"/>
    </row>
    <row r="32" spans="3:4" x14ac:dyDescent="0.75">
      <c r="C32" s="1"/>
      <c r="D32" s="1"/>
    </row>
    <row r="33" spans="3:4" x14ac:dyDescent="0.75">
      <c r="C33" s="1"/>
      <c r="D33" s="1"/>
    </row>
    <row r="34" spans="3:4" x14ac:dyDescent="0.75">
      <c r="C34" s="1"/>
      <c r="D34" s="1"/>
    </row>
    <row r="35" spans="3:4" x14ac:dyDescent="0.75">
      <c r="C35" s="1"/>
      <c r="D35" s="1"/>
    </row>
    <row r="36" spans="3:4" x14ac:dyDescent="0.75">
      <c r="C36" s="1"/>
      <c r="D36" s="1"/>
    </row>
    <row r="37" spans="3:4" x14ac:dyDescent="0.75">
      <c r="C37" s="1"/>
      <c r="D37" s="1"/>
    </row>
    <row r="38" spans="3:4" x14ac:dyDescent="0.75">
      <c r="C38" s="1"/>
      <c r="D38" s="1"/>
    </row>
    <row r="39" spans="3:4" x14ac:dyDescent="0.75">
      <c r="C39" s="1"/>
      <c r="D39" s="1"/>
    </row>
    <row r="40" spans="3:4" x14ac:dyDescent="0.75">
      <c r="C40" s="1"/>
      <c r="D40" s="1"/>
    </row>
    <row r="41" spans="3:4" x14ac:dyDescent="0.75">
      <c r="C41" s="1"/>
      <c r="D41" s="1"/>
    </row>
    <row r="42" spans="3:4" x14ac:dyDescent="0.75">
      <c r="C42" s="1"/>
      <c r="D42" s="1"/>
    </row>
    <row r="43" spans="3:4" x14ac:dyDescent="0.75">
      <c r="C43" s="1"/>
      <c r="D43" s="1"/>
    </row>
    <row r="44" spans="3:4" x14ac:dyDescent="0.75">
      <c r="C44" s="1"/>
      <c r="D44" s="1"/>
    </row>
    <row r="45" spans="3:4" x14ac:dyDescent="0.75">
      <c r="C45" s="1"/>
      <c r="D45" s="1"/>
    </row>
    <row r="46" spans="3:4" x14ac:dyDescent="0.75">
      <c r="C46" s="1"/>
      <c r="D46" s="1"/>
    </row>
    <row r="47" spans="3:4" x14ac:dyDescent="0.75">
      <c r="C47" s="1"/>
      <c r="D47" s="1"/>
    </row>
    <row r="48" spans="3:4" x14ac:dyDescent="0.75">
      <c r="C48" s="1"/>
      <c r="D4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6989-1ECA-4573-9058-5F86197B7787}">
  <dimension ref="A1:C18"/>
  <sheetViews>
    <sheetView topLeftCell="A7" workbookViewId="0">
      <selection activeCell="A16" sqref="A16:C18"/>
    </sheetView>
  </sheetViews>
  <sheetFormatPr defaultRowHeight="14.75" x14ac:dyDescent="0.75"/>
  <cols>
    <col min="1" max="1" width="21.04296875" customWidth="1"/>
    <col min="2" max="2" width="15.7265625" customWidth="1"/>
    <col min="3" max="3" width="20.40625" customWidth="1"/>
  </cols>
  <sheetData>
    <row r="1" spans="1:3" x14ac:dyDescent="0.75">
      <c r="A1" t="s">
        <v>0</v>
      </c>
      <c r="B1" t="s">
        <v>24</v>
      </c>
      <c r="C1" s="1" t="s">
        <v>5</v>
      </c>
    </row>
    <row r="2" spans="1:3" x14ac:dyDescent="0.75">
      <c r="A2" t="s">
        <v>44</v>
      </c>
      <c r="B2">
        <v>301</v>
      </c>
      <c r="C2" s="1">
        <v>100</v>
      </c>
    </row>
    <row r="3" spans="1:3" x14ac:dyDescent="0.75">
      <c r="A3" t="s">
        <v>44</v>
      </c>
      <c r="B3">
        <v>493</v>
      </c>
      <c r="C3" s="1">
        <v>400</v>
      </c>
    </row>
    <row r="4" spans="1:3" x14ac:dyDescent="0.75">
      <c r="A4" t="s">
        <v>44</v>
      </c>
      <c r="B4">
        <v>497</v>
      </c>
      <c r="C4" s="1">
        <v>400</v>
      </c>
    </row>
    <row r="5" spans="1:3" x14ac:dyDescent="0.75">
      <c r="A5" t="s">
        <v>44</v>
      </c>
      <c r="B5">
        <v>499</v>
      </c>
      <c r="C5" s="1">
        <v>400</v>
      </c>
    </row>
    <row r="6" spans="1:3" x14ac:dyDescent="0.75">
      <c r="A6" t="s">
        <v>44</v>
      </c>
      <c r="B6">
        <v>501</v>
      </c>
      <c r="C6" s="1">
        <v>100</v>
      </c>
    </row>
    <row r="7" spans="1:3" x14ac:dyDescent="0.75">
      <c r="A7" t="s">
        <v>44</v>
      </c>
      <c r="B7">
        <v>693</v>
      </c>
      <c r="C7" s="1">
        <v>400</v>
      </c>
    </row>
    <row r="8" spans="1:3" x14ac:dyDescent="0.75">
      <c r="A8" t="s">
        <v>44</v>
      </c>
      <c r="B8">
        <v>696</v>
      </c>
      <c r="C8" s="1">
        <v>400</v>
      </c>
    </row>
    <row r="9" spans="1:3" x14ac:dyDescent="0.75">
      <c r="A9" t="s">
        <v>44</v>
      </c>
      <c r="B9">
        <v>698</v>
      </c>
      <c r="C9" s="1">
        <v>400</v>
      </c>
    </row>
    <row r="10" spans="1:3" x14ac:dyDescent="0.75">
      <c r="A10" t="s">
        <v>45</v>
      </c>
      <c r="B10">
        <v>156</v>
      </c>
      <c r="C10" s="1">
        <f>75+150</f>
        <v>225</v>
      </c>
    </row>
    <row r="11" spans="1:3" x14ac:dyDescent="0.75">
      <c r="A11" t="s">
        <v>45</v>
      </c>
      <c r="B11">
        <v>167</v>
      </c>
      <c r="C11" s="1">
        <f>100+175</f>
        <v>275</v>
      </c>
    </row>
    <row r="12" spans="1:3" x14ac:dyDescent="0.75">
      <c r="A12" t="s">
        <v>45</v>
      </c>
      <c r="B12">
        <v>174</v>
      </c>
      <c r="C12" s="1">
        <f>50+150</f>
        <v>200</v>
      </c>
    </row>
    <row r="13" spans="1:3" x14ac:dyDescent="0.75">
      <c r="A13" t="s">
        <v>45</v>
      </c>
      <c r="B13">
        <v>221</v>
      </c>
      <c r="C13" s="1">
        <f>25+150</f>
        <v>175</v>
      </c>
    </row>
    <row r="14" spans="1:3" x14ac:dyDescent="0.75">
      <c r="A14" t="s">
        <v>47</v>
      </c>
      <c r="B14">
        <v>490</v>
      </c>
      <c r="C14" s="1">
        <v>100</v>
      </c>
    </row>
    <row r="15" spans="1:3" x14ac:dyDescent="0.75">
      <c r="A15" t="s">
        <v>47</v>
      </c>
      <c r="B15">
        <v>491</v>
      </c>
      <c r="C15" s="1">
        <v>100</v>
      </c>
    </row>
    <row r="16" spans="1:3" x14ac:dyDescent="0.75">
      <c r="A16" t="s">
        <v>70</v>
      </c>
      <c r="B16">
        <v>408</v>
      </c>
      <c r="C16" s="1">
        <f>300</f>
        <v>300</v>
      </c>
    </row>
    <row r="17" spans="1:3" x14ac:dyDescent="0.75">
      <c r="A17" t="s">
        <v>70</v>
      </c>
      <c r="B17">
        <v>613</v>
      </c>
      <c r="C17" s="1">
        <f>575</f>
        <v>575</v>
      </c>
    </row>
    <row r="18" spans="1:3" x14ac:dyDescent="0.75">
      <c r="A18" t="s">
        <v>70</v>
      </c>
      <c r="B18">
        <v>623</v>
      </c>
      <c r="C18" s="1">
        <f>575</f>
        <v>575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E2A1-6221-4527-AE30-2E7247F21D94}">
  <dimension ref="A1:D4"/>
  <sheetViews>
    <sheetView workbookViewId="0">
      <selection activeCell="A3" sqref="A3:D94"/>
    </sheetView>
  </sheetViews>
  <sheetFormatPr defaultRowHeight="14.75" x14ac:dyDescent="0.75"/>
  <cols>
    <col min="1" max="1" width="17" customWidth="1"/>
    <col min="2" max="2" width="19.6796875" customWidth="1"/>
    <col min="3" max="3" width="22.1328125" customWidth="1"/>
    <col min="4" max="4" width="23.86328125" customWidth="1"/>
  </cols>
  <sheetData>
    <row r="1" spans="1:4" x14ac:dyDescent="0.75">
      <c r="A1" t="s">
        <v>0</v>
      </c>
      <c r="B1" t="s">
        <v>25</v>
      </c>
      <c r="C1" t="s">
        <v>26</v>
      </c>
      <c r="D1" t="s">
        <v>27</v>
      </c>
    </row>
    <row r="2" spans="1:4" x14ac:dyDescent="0.75">
      <c r="A2" t="s">
        <v>6</v>
      </c>
      <c r="B2">
        <v>100</v>
      </c>
      <c r="C2">
        <v>199</v>
      </c>
      <c r="D2" s="1">
        <v>10</v>
      </c>
    </row>
    <row r="3" spans="1:4" x14ac:dyDescent="0.75">
      <c r="D3" s="1"/>
    </row>
    <row r="4" spans="1:4" x14ac:dyDescent="0.75">
      <c r="D4" s="1"/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880C-18D4-499F-8B88-EE0B84F0E4BB}">
  <dimension ref="A1:C12"/>
  <sheetViews>
    <sheetView tabSelected="1" workbookViewId="0">
      <selection activeCell="B9" sqref="B9"/>
    </sheetView>
  </sheetViews>
  <sheetFormatPr defaultRowHeight="14.75" x14ac:dyDescent="0.75"/>
  <cols>
    <col min="1" max="1" width="27.1328125" customWidth="1"/>
    <col min="2" max="2" width="24.58984375" customWidth="1"/>
    <col min="3" max="3" width="24.54296875" customWidth="1"/>
    <col min="4" max="4" width="21.7265625" customWidth="1"/>
  </cols>
  <sheetData>
    <row r="1" spans="1:3" x14ac:dyDescent="0.75">
      <c r="A1" t="s">
        <v>28</v>
      </c>
      <c r="B1" t="s">
        <v>29</v>
      </c>
      <c r="C1" t="s">
        <v>32</v>
      </c>
    </row>
    <row r="2" spans="1:3" x14ac:dyDescent="0.75">
      <c r="A2" t="s">
        <v>62</v>
      </c>
      <c r="B2" s="1">
        <v>220</v>
      </c>
      <c r="C2" t="s">
        <v>63</v>
      </c>
    </row>
    <row r="3" spans="1:3" x14ac:dyDescent="0.75">
      <c r="A3" t="s">
        <v>64</v>
      </c>
      <c r="B3" s="1">
        <v>150</v>
      </c>
      <c r="C3" t="s">
        <v>63</v>
      </c>
    </row>
    <row r="4" spans="1:3" x14ac:dyDescent="0.75">
      <c r="A4" t="s">
        <v>65</v>
      </c>
      <c r="B4" s="1">
        <v>25</v>
      </c>
      <c r="C4" t="s">
        <v>66</v>
      </c>
    </row>
    <row r="5" spans="1:3" x14ac:dyDescent="0.75">
      <c r="A5" t="s">
        <v>67</v>
      </c>
      <c r="B5" s="1">
        <v>50</v>
      </c>
      <c r="C5" t="s">
        <v>66</v>
      </c>
    </row>
    <row r="6" spans="1:3" x14ac:dyDescent="0.75">
      <c r="A6" t="s">
        <v>92</v>
      </c>
      <c r="B6" s="1">
        <v>140</v>
      </c>
      <c r="C6" t="s">
        <v>63</v>
      </c>
    </row>
    <row r="7" spans="1:3" x14ac:dyDescent="0.75">
      <c r="A7" t="s">
        <v>93</v>
      </c>
      <c r="B7" s="1">
        <v>90</v>
      </c>
      <c r="C7" t="s">
        <v>94</v>
      </c>
    </row>
    <row r="8" spans="1:3" x14ac:dyDescent="0.75">
      <c r="A8" t="s">
        <v>95</v>
      </c>
      <c r="B8" s="1">
        <v>50</v>
      </c>
      <c r="C8" t="s">
        <v>66</v>
      </c>
    </row>
    <row r="9" spans="1:3" x14ac:dyDescent="0.75">
      <c r="A9" t="s">
        <v>96</v>
      </c>
      <c r="B9" s="1">
        <v>1850</v>
      </c>
    </row>
    <row r="10" spans="1:3" x14ac:dyDescent="0.75">
      <c r="A10" t="s">
        <v>97</v>
      </c>
      <c r="B10" s="1">
        <v>620</v>
      </c>
    </row>
    <row r="11" spans="1:3" x14ac:dyDescent="0.75">
      <c r="A11" t="s">
        <v>98</v>
      </c>
      <c r="B11" s="1">
        <v>365</v>
      </c>
    </row>
    <row r="12" spans="1:3" x14ac:dyDescent="0.75">
      <c r="A12" t="s">
        <v>99</v>
      </c>
      <c r="B12" s="1">
        <v>655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BB17-7DC1-4EB7-9EC6-F23EE54B0309}">
  <dimension ref="A1:B6"/>
  <sheetViews>
    <sheetView workbookViewId="0">
      <selection activeCell="B10" sqref="B10"/>
    </sheetView>
  </sheetViews>
  <sheetFormatPr defaultRowHeight="14.75" x14ac:dyDescent="0.75"/>
  <cols>
    <col min="1" max="1" width="34.7265625" customWidth="1"/>
    <col min="2" max="2" width="16.31640625" customWidth="1"/>
  </cols>
  <sheetData>
    <row r="1" spans="1:2" x14ac:dyDescent="0.75">
      <c r="A1" t="s">
        <v>28</v>
      </c>
      <c r="B1" t="s">
        <v>29</v>
      </c>
    </row>
    <row r="2" spans="1:2" x14ac:dyDescent="0.75">
      <c r="A2" t="s">
        <v>68</v>
      </c>
      <c r="B2" s="1">
        <v>100</v>
      </c>
    </row>
    <row r="3" spans="1:2" x14ac:dyDescent="0.75">
      <c r="A3" t="s">
        <v>100</v>
      </c>
      <c r="B3" s="1">
        <v>10</v>
      </c>
    </row>
    <row r="4" spans="1:2" x14ac:dyDescent="0.75">
      <c r="A4" t="s">
        <v>101</v>
      </c>
      <c r="B4" s="1">
        <v>10</v>
      </c>
    </row>
    <row r="5" spans="1:2" x14ac:dyDescent="0.75">
      <c r="A5" t="s">
        <v>102</v>
      </c>
      <c r="B5" s="1">
        <v>10</v>
      </c>
    </row>
    <row r="6" spans="1:2" x14ac:dyDescent="0.75">
      <c r="A6" t="s">
        <v>103</v>
      </c>
      <c r="B6" s="1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Colleges</vt:lpstr>
      <vt:lpstr>Individual Course Fees</vt:lpstr>
      <vt:lpstr>Group Course Fees</vt:lpstr>
      <vt:lpstr>Semester Fees</vt:lpstr>
      <vt:lpstr>One-time 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Phles</dc:creator>
  <cp:lastModifiedBy>Joseph Lambo</cp:lastModifiedBy>
  <dcterms:created xsi:type="dcterms:W3CDTF">2022-08-25T19:55:26Z</dcterms:created>
  <dcterms:modified xsi:type="dcterms:W3CDTF">2022-10-04T22:47:31Z</dcterms:modified>
</cp:coreProperties>
</file>